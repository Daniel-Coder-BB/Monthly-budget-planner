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8_{0182945D-AA0A-4253-8ADD-6A37B8AC9A98}" xr6:coauthVersionLast="47" xr6:coauthVersionMax="47" xr10:uidLastSave="{00000000-0000-0000-0000-000000000000}"/>
  <bookViews>
    <workbookView xWindow="11424" yWindow="0" windowWidth="11712" windowHeight="13776" xr2:uid="{461CC28F-EA53-49C2-B7D9-65671E7E6F48}"/>
  </bookViews>
  <sheets>
    <sheet name="Mijn Budget" sheetId="1" r:id="rId1"/>
  </sheets>
  <definedNames>
    <definedName name="_xlnm._FilterDatabase" localSheetId="0" hidden="1">'Mijn Budget'!$A$1:$C$11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E1" i="1"/>
  <c r="D2" i="1"/>
  <c r="D1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<sst xmlns="http://schemas.openxmlformats.org/spreadsheetml/2006/main" count="14" uniqueCount="9">
  <si>
    <t>Datum</t>
  </si>
  <si>
    <t>Categorie</t>
  </si>
  <si>
    <t>Bedrag</t>
  </si>
  <si>
    <t>Boodschappen</t>
  </si>
  <si>
    <t>Netlifx</t>
  </si>
  <si>
    <t>Vriendin</t>
  </si>
  <si>
    <t>Vrienden</t>
  </si>
  <si>
    <t>Huur</t>
  </si>
  <si>
    <t>Inclusief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</si>
</sst>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€-813]\ * #,##0.00_ ;_ [$€-813]\ * \-#,##0.00_ ;_ [$€-813]\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/>
      <diagonal/>
    </border>
    <border>
      <left/>
      <right style="thin">
        <color theme="5" tint="0.79998168889431442"/>
      </right>
      <top style="thin">
        <color theme="5" tint="0.79998168889431442"/>
      </top>
      <bottom/>
      <diagonal/>
    </border>
    <border>
      <left style="thin">
        <color theme="5" tint="0.79998168889431442"/>
      </left>
      <right/>
      <top/>
      <bottom/>
      <diagonal/>
    </border>
    <border>
      <left/>
      <right style="thin">
        <color theme="5" tint="0.79998168889431442"/>
      </right>
      <top/>
      <bottom/>
      <diagonal/>
    </border>
    <border>
      <left style="thin">
        <color theme="5" tint="0.79998168889431442"/>
      </left>
      <right/>
      <top/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  <border>
      <left/>
      <right style="thin">
        <color theme="5" tint="0.79998168889431442"/>
      </right>
      <top/>
      <bottom style="thin">
        <color theme="5" tint="0.79998168889431442"/>
      </bottom>
      <diagonal/>
    </border>
  </borders>
  <cellStyleXfs count="1">
    <xf numFmtId="0" fontId="0" fillId="0" borderId="0"/>
  </cellStyleXfs>
  <cellXfs count="19">
    <xf numFmtId="0" fontId="0" fillId="0" borderId="0" xfId="0"/>
    <xf numFmtId="166" fontId="0" fillId="0" borderId="0" xfId="0" applyNumberFormat="1"/>
    <xf numFmtId="0" fontId="0" fillId="0" borderId="1" xfId="0" applyBorder="1"/>
    <xf numFmtId="0" fontId="0" fillId="0" borderId="2" xfId="0" applyBorder="1"/>
    <xf numFmtId="166" fontId="0" fillId="0" borderId="3" xfId="0" applyNumberFormat="1" applyBorder="1"/>
    <xf numFmtId="14" fontId="0" fillId="0" borderId="4" xfId="0" applyNumberFormat="1" applyBorder="1"/>
    <xf numFmtId="0" fontId="0" fillId="0" borderId="0" xfId="0" applyBorder="1"/>
    <xf numFmtId="166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166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Standaard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'Mijn Budget'!$C$1</c:f>
              <c:strCache>
                <c:ptCount val="1"/>
                <c:pt idx="0">
                  <c:v> Bedrag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'Mijn Budget'!$A$2:$A$11</c:f>
              <c:numCache>
                <c:formatCode>m/d/yyyy</c:formatCode>
                <c:ptCount val="10"/>
                <c:pt idx="0">
                  <c:v>46057</c:v>
                </c:pt>
                <c:pt idx="1">
                  <c:v>46058</c:v>
                </c:pt>
                <c:pt idx="2">
                  <c:v>46059</c:v>
                </c:pt>
                <c:pt idx="3">
                  <c:v>46060</c:v>
                </c:pt>
                <c:pt idx="4">
                  <c:v>46061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</c:numCache>
            </c:numRef>
          </c:cat>
          <c:val>
            <c:numRef>
              <c:f>'Mijn Budget'!$C$2:$C$11</c:f>
              <c:numCache>
                <c:formatCode>_ [$€-813]\ * #,##0.00_ ;_ [$€-813]\ * \-#,##0.00_ ;_ [$€-813]\ * "-"??_ ;_ @_ </c:formatCode>
                <c:ptCount val="10"/>
                <c:pt idx="0">
                  <c:v>57</c:v>
                </c:pt>
                <c:pt idx="1">
                  <c:v>68</c:v>
                </c:pt>
                <c:pt idx="2">
                  <c:v>20</c:v>
                </c:pt>
                <c:pt idx="3">
                  <c:v>49</c:v>
                </c:pt>
                <c:pt idx="4">
                  <c:v>26</c:v>
                </c:pt>
                <c:pt idx="5">
                  <c:v>73</c:v>
                </c:pt>
                <c:pt idx="6">
                  <c:v>96</c:v>
                </c:pt>
                <c:pt idx="7">
                  <c:v>45</c:v>
                </c:pt>
                <c:pt idx="8">
                  <c:v>85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7-401D-8924-7E20C5549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1839"/>
        <c:axId val="12462319"/>
      </c:barChart>
      <c:dateAx>
        <c:axId val="124618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62319"/>
        <c:crosses val="autoZero"/>
        <c:auto val="1"/>
        <c:lblOffset val="100"/>
        <c:baseTimeUnit val="days"/>
      </c:dateAx>
      <c:valAx>
        <c:axId val="1246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€-813]\ * #,##0.00_ ;_ [$€-813]\ * \-#,##0.00_ ;_ [$€-813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6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14</xdr:row>
      <xdr:rowOff>133350</xdr:rowOff>
    </xdr:from>
    <xdr:to>
      <xdr:col>8</xdr:col>
      <xdr:colOff>403860</xdr:colOff>
      <xdr:row>29</xdr:row>
      <xdr:rowOff>133350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9E3222CD-C036-82F4-9060-5C218748A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1454-599D-4726-88AB-3C4720F3EF0A}">
  <dimension ref="A1:I12"/>
  <sheetViews>
    <sheetView tabSelected="1" workbookViewId="0">
      <selection activeCell="G1" sqref="G1"/>
    </sheetView>
  </sheetViews>
  <sheetFormatPr defaultRowHeight="14.4" x14ac:dyDescent="0.3"/>
  <cols>
    <col min="2" max="2" width="13.109375" bestFit="1" customWidth="1"/>
    <col min="3" max="3" width="8.88671875" style="1"/>
    <col min="4" max="4" width="11.77734375" bestFit="1" customWidth="1"/>
  </cols>
  <sheetData>
    <row r="1" spans="1:9" x14ac:dyDescent="0.3">
      <c r="A1" s="2" t="s">
        <v>0</v>
      </c>
      <c r="B1" s="3" t="s">
        <v>1</v>
      </c>
      <c r="C1" s="4" t="s">
        <v>2</v>
      </c>
      <c r="D1" t="s">
        <v>8</v>
      </c>
      <c r="E1" s="1">
        <f>SUM(C:C)</f>
        <v>529</v>
      </c>
      <c r="G1">
        <v>1.21</v>
      </c>
    </row>
    <row r="2" spans="1:9" x14ac:dyDescent="0.3">
      <c r="A2" s="5">
        <v>46057</v>
      </c>
      <c r="B2" s="6" t="s">
        <v>3</v>
      </c>
      <c r="C2" s="7">
        <v>57</v>
      </c>
      <c r="D2" s="1">
        <f>C2*$G$1</f>
        <v>68.97</v>
      </c>
      <c r="E2" s="1">
        <f>AVERAGE(C:C)</f>
        <v>52.9</v>
      </c>
    </row>
    <row r="3" spans="1:9" x14ac:dyDescent="0.3">
      <c r="A3" s="5">
        <v>46058</v>
      </c>
      <c r="B3" s="6" t="s">
        <v>4</v>
      </c>
      <c r="C3" s="7">
        <v>68</v>
      </c>
      <c r="D3" s="1">
        <f t="shared" ref="D3:D12" si="0">C3*$G$1</f>
        <v>82.28</v>
      </c>
      <c r="E3" s="1">
        <f>MAX(C:C)</f>
        <v>96</v>
      </c>
    </row>
    <row r="4" spans="1:9" x14ac:dyDescent="0.3">
      <c r="A4" s="5">
        <v>46059</v>
      </c>
      <c r="B4" s="6" t="s">
        <v>5</v>
      </c>
      <c r="C4" s="7">
        <v>20</v>
      </c>
      <c r="D4" s="1">
        <f t="shared" si="0"/>
        <v>24.2</v>
      </c>
    </row>
    <row r="5" spans="1:9" x14ac:dyDescent="0.3">
      <c r="A5" s="5">
        <v>46060</v>
      </c>
      <c r="B5" s="6" t="s">
        <v>6</v>
      </c>
      <c r="C5" s="7">
        <v>49</v>
      </c>
      <c r="D5" s="1">
        <f t="shared" si="0"/>
        <v>59.29</v>
      </c>
    </row>
    <row r="6" spans="1:9" x14ac:dyDescent="0.3">
      <c r="A6" s="5">
        <v>46061</v>
      </c>
      <c r="B6" s="6" t="s">
        <v>3</v>
      </c>
      <c r="C6" s="7">
        <v>26</v>
      </c>
      <c r="D6" s="1">
        <f t="shared" si="0"/>
        <v>31.46</v>
      </c>
    </row>
    <row r="7" spans="1:9" x14ac:dyDescent="0.3">
      <c r="A7" s="5">
        <v>46062</v>
      </c>
      <c r="B7" s="6" t="s">
        <v>4</v>
      </c>
      <c r="C7" s="7">
        <v>73</v>
      </c>
      <c r="D7" s="1">
        <f t="shared" si="0"/>
        <v>88.33</v>
      </c>
    </row>
    <row r="8" spans="1:9" x14ac:dyDescent="0.3">
      <c r="A8" s="5">
        <v>46063</v>
      </c>
      <c r="B8" s="6" t="s">
        <v>7</v>
      </c>
      <c r="C8" s="7">
        <v>96</v>
      </c>
      <c r="D8" s="1">
        <f t="shared" si="0"/>
        <v>116.16</v>
      </c>
    </row>
    <row r="9" spans="1:9" x14ac:dyDescent="0.3">
      <c r="A9" s="5">
        <v>46064</v>
      </c>
      <c r="B9" s="6" t="s">
        <v>3</v>
      </c>
      <c r="C9" s="7">
        <v>45</v>
      </c>
      <c r="D9" s="1">
        <f t="shared" si="0"/>
        <v>54.449999999999996</v>
      </c>
      <c r="G9" s="11"/>
      <c r="H9" s="12"/>
      <c r="I9" s="13"/>
    </row>
    <row r="10" spans="1:9" x14ac:dyDescent="0.3">
      <c r="A10" s="5">
        <v>46065</v>
      </c>
      <c r="B10" s="6" t="s">
        <v>5</v>
      </c>
      <c r="C10" s="7">
        <v>85</v>
      </c>
      <c r="D10" s="1">
        <f t="shared" si="0"/>
        <v>102.85</v>
      </c>
      <c r="G10" s="14"/>
      <c r="H10" s="6"/>
      <c r="I10" s="15"/>
    </row>
    <row r="11" spans="1:9" x14ac:dyDescent="0.3">
      <c r="A11" s="8">
        <v>46066</v>
      </c>
      <c r="B11" s="9" t="s">
        <v>4</v>
      </c>
      <c r="C11" s="10">
        <v>10</v>
      </c>
      <c r="D11" s="1">
        <f t="shared" si="0"/>
        <v>12.1</v>
      </c>
      <c r="G11" s="16"/>
      <c r="H11" s="17"/>
      <c r="I11" s="18"/>
    </row>
    <row r="12" spans="1:9" x14ac:dyDescent="0.3">
      <c r="D12" s="1">
        <f t="shared" si="0"/>
        <v>0</v>
      </c>
    </row>
  </sheetData>
  <autoFilter ref="A1:C11" xr:uid="{8B691454-599D-4726-88AB-3C4720F3EF0A}"/>
  <conditionalFormatting sqref="C1:C1048576">
    <cfRule type="cellIs" dxfId="0" priority="1" operator="greaterThan">
      <formula>50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02E38AEC7B34092CC7F166587C4AD" ma:contentTypeVersion="9" ma:contentTypeDescription="Een nieuw document maken." ma:contentTypeScope="" ma:versionID="2d86695044f96c740132bcb28d7e49f8">
  <xsd:schema xmlns:xsd="http://www.w3.org/2001/XMLSchema" xmlns:xs="http://www.w3.org/2001/XMLSchema" xmlns:p="http://schemas.microsoft.com/office/2006/metadata/properties" xmlns:ns3="539431ae-8e80-41d9-8f1c-9d6b88808293" xmlns:ns4="9578f822-9d91-4876-9fda-4008f3d4a839" targetNamespace="http://schemas.microsoft.com/office/2006/metadata/properties" ma:root="true" ma:fieldsID="e4dfce1a70fee764c3153b6164112f00" ns3:_="" ns4:_="">
    <xsd:import namespace="539431ae-8e80-41d9-8f1c-9d6b88808293"/>
    <xsd:import namespace="9578f822-9d91-4876-9fda-4008f3d4a8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431ae-8e80-41d9-8f1c-9d6b88808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8f822-9d91-4876-9fda-4008f3d4a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9431ae-8e80-41d9-8f1c-9d6b88808293" xsi:nil="true"/>
  </documentManagement>
</p:properties>
</file>

<file path=customXml/itemProps1.xml><?xml version="1.0" encoding="utf-8"?>
<ds:datastoreItem xmlns:ds="http://schemas.openxmlformats.org/officeDocument/2006/customXml" ds:itemID="{D0D3D97B-4179-4C38-B595-C73D40E26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431ae-8e80-41d9-8f1c-9d6b88808293"/>
    <ds:schemaRef ds:uri="9578f822-9d91-4876-9fda-4008f3d4a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B1A5BF-113B-479F-9649-49E3477C0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3E59EB-0587-4DE3-9A39-1A2C686BB197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9578f822-9d91-4876-9fda-4008f3d4a839"/>
    <ds:schemaRef ds:uri="539431ae-8e80-41d9-8f1c-9d6b888082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Mijn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Luango</dc:creator>
  <cp:lastModifiedBy>Bruno Luango</cp:lastModifiedBy>
  <dcterms:created xsi:type="dcterms:W3CDTF">2026-02-04T14:22:49Z</dcterms:created>
  <dcterms:modified xsi:type="dcterms:W3CDTF">2026-02-04T14:52:21Z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0x01010094402E38AEC7B34092CC7F166587C4AD</vt:lpwstr>
  </property>
</Properties>
</file>